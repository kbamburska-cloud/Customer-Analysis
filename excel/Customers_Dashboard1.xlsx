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764785b0c93dfa/Dokumenty/sql/p2/"/>
    </mc:Choice>
  </mc:AlternateContent>
  <xr:revisionPtr revIDLastSave="4" documentId="8_{4ABDD4E7-D972-4E2F-A696-0AE110B0D4DC}" xr6:coauthVersionLast="47" xr6:coauthVersionMax="47" xr10:uidLastSave="{30CAF62D-55E1-41ED-9F3E-AB46D9BC8842}"/>
  <bookViews>
    <workbookView xWindow="-120" yWindow="-120" windowWidth="29040" windowHeight="15720" tabRatio="726" firstSheet="1" activeTab="4" xr2:uid="{54516558-0BEF-439C-805E-74B3F2B2F1A7}"/>
  </bookViews>
  <sheets>
    <sheet name="customer_segments" sheetId="2" r:id="rId1"/>
    <sheet name="Top customers" sheetId="4" r:id="rId2"/>
    <sheet name="Top Risky Customers" sheetId="5" r:id="rId3"/>
    <sheet name="Customer Segmentation" sheetId="6" r:id="rId4"/>
    <sheet name="Dashboard" sheetId="1" r:id="rId5"/>
  </sheets>
  <definedNames>
    <definedName name="ExternalData_1" localSheetId="0" hidden="1">'customer_segments'!$A$1:$I$16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4C6802-38EF-46B0-9A99-C431CFBC5990}" keepAlive="1" name="Query - customer_segments" description="Connection to the 'customer_segments' query in the workbook." type="5" refreshedVersion="8" background="1" saveData="1">
    <dbPr connection="Provider=Microsoft.Mashup.OleDb.1;Data Source=$Workbook$;Location=customer_segments;Extended Properties=&quot;&quot;" command="SELECT * FROM [customer_segments]"/>
  </connection>
</connections>
</file>

<file path=xl/sharedStrings.xml><?xml version="1.0" encoding="utf-8"?>
<sst xmlns="http://schemas.openxmlformats.org/spreadsheetml/2006/main" count="137" uniqueCount="75">
  <si>
    <t>customer_id</t>
  </si>
  <si>
    <t>total_policies</t>
  </si>
  <si>
    <t>total_premium</t>
  </si>
  <si>
    <t>total_claims</t>
  </si>
  <si>
    <t>loss_ratio</t>
  </si>
  <si>
    <t>customer_segment</t>
  </si>
  <si>
    <t>medium_value</t>
  </si>
  <si>
    <t>low_value</t>
  </si>
  <si>
    <t>high_value</t>
  </si>
  <si>
    <t>full_name</t>
  </si>
  <si>
    <t>John Smith</t>
  </si>
  <si>
    <t>Anna Brown</t>
  </si>
  <si>
    <t>Tom Wilson</t>
  </si>
  <si>
    <t>Kate Taylor</t>
  </si>
  <si>
    <t>Mike Davis</t>
  </si>
  <si>
    <t>Sara Miller</t>
  </si>
  <si>
    <t>Chris Moore</t>
  </si>
  <si>
    <t>Emma Clark</t>
  </si>
  <si>
    <t>James Hall</t>
  </si>
  <si>
    <t>Laura Allen</t>
  </si>
  <si>
    <t>Daniel Young</t>
  </si>
  <si>
    <t>Olivia King</t>
  </si>
  <si>
    <t>Henry Scott</t>
  </si>
  <si>
    <t>Sophie Green</t>
  </si>
  <si>
    <t>Jack Adams</t>
  </si>
  <si>
    <t>Row Labels</t>
  </si>
  <si>
    <t>Grand Total</t>
  </si>
  <si>
    <t>Sum of total_premium</t>
  </si>
  <si>
    <t>Sum of loss_ratio</t>
  </si>
  <si>
    <t>Count of customer_id</t>
  </si>
  <si>
    <t>Total Premium</t>
  </si>
  <si>
    <t>Total Claims</t>
  </si>
  <si>
    <t>Customer</t>
  </si>
  <si>
    <t>Loss Ratio</t>
  </si>
  <si>
    <t>Customer Segment</t>
  </si>
  <si>
    <t>High Value</t>
  </si>
  <si>
    <t>Medium Value</t>
  </si>
  <si>
    <t>Low Value</t>
  </si>
  <si>
    <t>first_name</t>
  </si>
  <si>
    <t>last_name</t>
  </si>
  <si>
    <t>John</t>
  </si>
  <si>
    <t>Smith</t>
  </si>
  <si>
    <t>Anna</t>
  </si>
  <si>
    <t>Brown</t>
  </si>
  <si>
    <t>Tom</t>
  </si>
  <si>
    <t>Wilson</t>
  </si>
  <si>
    <t>Kate</t>
  </si>
  <si>
    <t>Taylor</t>
  </si>
  <si>
    <t>Mike</t>
  </si>
  <si>
    <t>Davis</t>
  </si>
  <si>
    <t>Sara</t>
  </si>
  <si>
    <t>Miller</t>
  </si>
  <si>
    <t>Chris</t>
  </si>
  <si>
    <t>Moore</t>
  </si>
  <si>
    <t>Emma</t>
  </si>
  <si>
    <t>Clark</t>
  </si>
  <si>
    <t>James</t>
  </si>
  <si>
    <t>Hall</t>
  </si>
  <si>
    <t>Laura</t>
  </si>
  <si>
    <t>Allen</t>
  </si>
  <si>
    <t>Daniel</t>
  </si>
  <si>
    <t>Young</t>
  </si>
  <si>
    <t>Olivia</t>
  </si>
  <si>
    <t>King</t>
  </si>
  <si>
    <t>Henry</t>
  </si>
  <si>
    <t>Scott</t>
  </si>
  <si>
    <t>Sophie</t>
  </si>
  <si>
    <t>Green</t>
  </si>
  <si>
    <t>Jack</t>
  </si>
  <si>
    <t>Adams</t>
  </si>
  <si>
    <t>Portfolio Loss Ratio</t>
  </si>
  <si>
    <t>Key Insights:</t>
  </si>
  <si>
    <t xml:space="preserve">• Henry Scott has the highest loss ratio (2.0), with claims exceeding premium by 100%  </t>
  </si>
  <si>
    <t xml:space="preserve">• Emma Clark generates the highest premium (£1,100) but also shows elevated risk (loss ratio 1.27)  </t>
  </si>
  <si>
    <t xml:space="preserve">• High Value customers (3 clients) contribute ~40% of total premium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</si>
</sst>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9" fontId="0" fillId="0" borderId="0" xfId="2" applyFont="1"/>
    <xf numFmtId="44" fontId="0" fillId="0" borderId="0" xfId="0" applyNumberFormat="1"/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Per cent" xfId="2" builtinId="5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£&quot;* #,##0.00_-;\-&quot;£&quot;* #,##0.00_-;_-&quot;£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[Customers_Dashboard.xlsx]Top customers!PivotTable2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Customers by Premium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customers'!$A$2:$A$12</c:f>
              <c:strCache>
                <c:ptCount val="10"/>
                <c:pt idx="0">
                  <c:v>Emma Clark</c:v>
                </c:pt>
                <c:pt idx="1">
                  <c:v>Henry Scott</c:v>
                </c:pt>
                <c:pt idx="2">
                  <c:v>James Hall</c:v>
                </c:pt>
                <c:pt idx="3">
                  <c:v>Olivia King</c:v>
                </c:pt>
                <c:pt idx="4">
                  <c:v>Mike Davis</c:v>
                </c:pt>
                <c:pt idx="5">
                  <c:v>Tom Wilson</c:v>
                </c:pt>
                <c:pt idx="6">
                  <c:v>Kate Taylor</c:v>
                </c:pt>
                <c:pt idx="7">
                  <c:v>John Smith</c:v>
                </c:pt>
                <c:pt idx="8">
                  <c:v>Sophie Green</c:v>
                </c:pt>
                <c:pt idx="9">
                  <c:v>Daniel Young</c:v>
                </c:pt>
              </c:strCache>
            </c:strRef>
          </c:cat>
          <c:val>
            <c:numRef>
              <c:f>'Top customers'!$B$2:$B$12</c:f>
              <c:numCache>
                <c:formatCode>General</c:formatCode>
                <c:ptCount val="10"/>
                <c:pt idx="0">
                  <c:v>1100</c:v>
                </c:pt>
                <c:pt idx="1">
                  <c:v>1000</c:v>
                </c:pt>
                <c:pt idx="2">
                  <c:v>900</c:v>
                </c:pt>
                <c:pt idx="3">
                  <c:v>800</c:v>
                </c:pt>
                <c:pt idx="4">
                  <c:v>800</c:v>
                </c:pt>
                <c:pt idx="5">
                  <c:v>750</c:v>
                </c:pt>
                <c:pt idx="6">
                  <c:v>600</c:v>
                </c:pt>
                <c:pt idx="7">
                  <c:v>470</c:v>
                </c:pt>
                <c:pt idx="8">
                  <c:v>450</c:v>
                </c:pt>
                <c:pt idx="9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9-4367-9B6B-8C12AA7A9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8076144"/>
        <c:axId val="258068944"/>
      </c:barChart>
      <c:catAx>
        <c:axId val="2580761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68944"/>
        <c:crosses val="autoZero"/>
        <c:auto val="1"/>
        <c:lblAlgn val="ctr"/>
        <c:lblOffset val="100"/>
        <c:noMultiLvlLbl val="0"/>
      </c:catAx>
      <c:valAx>
        <c:axId val="2580689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7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[Customers_Dashboard.xlsx]Top Risky Customers!PivotTable3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 by Risk (loss ratio)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Risky Customers'!$B$1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Risky Customers'!$A$2:$A$12</c:f>
              <c:strCache>
                <c:ptCount val="10"/>
                <c:pt idx="0">
                  <c:v>Henry Scott</c:v>
                </c:pt>
                <c:pt idx="1">
                  <c:v>James Hall</c:v>
                </c:pt>
                <c:pt idx="2">
                  <c:v>Kate Taylor</c:v>
                </c:pt>
                <c:pt idx="3">
                  <c:v>Mike Davis</c:v>
                </c:pt>
                <c:pt idx="4">
                  <c:v>Chris Moore</c:v>
                </c:pt>
                <c:pt idx="5">
                  <c:v>Emma Clark</c:v>
                </c:pt>
                <c:pt idx="6">
                  <c:v>Anna Brown</c:v>
                </c:pt>
                <c:pt idx="7">
                  <c:v>Olivia King</c:v>
                </c:pt>
                <c:pt idx="8">
                  <c:v>Sophie Green</c:v>
                </c:pt>
                <c:pt idx="9">
                  <c:v>Daniel Young</c:v>
                </c:pt>
              </c:strCache>
            </c:strRef>
          </c:cat>
          <c:val>
            <c:numRef>
              <c:f>'Top Risky Customers'!$B$2:$B$12</c:f>
              <c:numCache>
                <c:formatCode>General</c:formatCode>
                <c:ptCount val="10"/>
                <c:pt idx="0">
                  <c:v>2</c:v>
                </c:pt>
                <c:pt idx="1">
                  <c:v>1.67</c:v>
                </c:pt>
                <c:pt idx="2">
                  <c:v>1.5</c:v>
                </c:pt>
                <c:pt idx="3">
                  <c:v>1.5</c:v>
                </c:pt>
                <c:pt idx="4">
                  <c:v>1.33</c:v>
                </c:pt>
                <c:pt idx="5">
                  <c:v>1.27</c:v>
                </c:pt>
                <c:pt idx="6">
                  <c:v>1.2</c:v>
                </c:pt>
                <c:pt idx="7">
                  <c:v>1.06</c:v>
                </c:pt>
                <c:pt idx="8">
                  <c:v>0.67</c:v>
                </c:pt>
                <c:pt idx="9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A-4381-94C8-2FAA3676C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9687568"/>
        <c:axId val="379681808"/>
      </c:barChart>
      <c:catAx>
        <c:axId val="379687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81808"/>
        <c:crosses val="autoZero"/>
        <c:auto val="1"/>
        <c:lblAlgn val="ctr"/>
        <c:lblOffset val="100"/>
        <c:noMultiLvlLbl val="0"/>
      </c:catAx>
      <c:valAx>
        <c:axId val="3796818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8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Segmaentation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high_value</c:v>
              </c:pt>
              <c:pt idx="1">
                <c:v>medium_value</c:v>
              </c:pt>
              <c:pt idx="2">
                <c:v>low_value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6</c:v>
              </c:pt>
              <c:pt idx="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FFAD-4E21-8E16-227601EEC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761695"/>
        <c:axId val="1555750655"/>
      </c:barChart>
      <c:catAx>
        <c:axId val="155576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750655"/>
        <c:crosses val="autoZero"/>
        <c:auto val="1"/>
        <c:lblAlgn val="ctr"/>
        <c:lblOffset val="100"/>
        <c:noMultiLvlLbl val="0"/>
      </c:catAx>
      <c:valAx>
        <c:axId val="15557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76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[Customers_Dashboard.xlsx]Top customers!PivotTable2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Customers by Premium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customers'!$A$2:$A$12</c:f>
              <c:strCache>
                <c:ptCount val="10"/>
                <c:pt idx="0">
                  <c:v>Emma Clark</c:v>
                </c:pt>
                <c:pt idx="1">
                  <c:v>Henry Scott</c:v>
                </c:pt>
                <c:pt idx="2">
                  <c:v>James Hall</c:v>
                </c:pt>
                <c:pt idx="3">
                  <c:v>Olivia King</c:v>
                </c:pt>
                <c:pt idx="4">
                  <c:v>Mike Davis</c:v>
                </c:pt>
                <c:pt idx="5">
                  <c:v>Tom Wilson</c:v>
                </c:pt>
                <c:pt idx="6">
                  <c:v>Kate Taylor</c:v>
                </c:pt>
                <c:pt idx="7">
                  <c:v>John Smith</c:v>
                </c:pt>
                <c:pt idx="8">
                  <c:v>Sophie Green</c:v>
                </c:pt>
                <c:pt idx="9">
                  <c:v>Daniel Young</c:v>
                </c:pt>
              </c:strCache>
            </c:strRef>
          </c:cat>
          <c:val>
            <c:numRef>
              <c:f>'Top customers'!$B$2:$B$12</c:f>
              <c:numCache>
                <c:formatCode>General</c:formatCode>
                <c:ptCount val="10"/>
                <c:pt idx="0">
                  <c:v>1100</c:v>
                </c:pt>
                <c:pt idx="1">
                  <c:v>1000</c:v>
                </c:pt>
                <c:pt idx="2">
                  <c:v>900</c:v>
                </c:pt>
                <c:pt idx="3">
                  <c:v>800</c:v>
                </c:pt>
                <c:pt idx="4">
                  <c:v>800</c:v>
                </c:pt>
                <c:pt idx="5">
                  <c:v>750</c:v>
                </c:pt>
                <c:pt idx="6">
                  <c:v>600</c:v>
                </c:pt>
                <c:pt idx="7">
                  <c:v>470</c:v>
                </c:pt>
                <c:pt idx="8">
                  <c:v>450</c:v>
                </c:pt>
                <c:pt idx="9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1-4B6B-9C4D-A2BE34CBE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8076144"/>
        <c:axId val="258068944"/>
      </c:barChart>
      <c:catAx>
        <c:axId val="2580761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68944"/>
        <c:crosses val="autoZero"/>
        <c:auto val="1"/>
        <c:lblAlgn val="ctr"/>
        <c:lblOffset val="100"/>
        <c:noMultiLvlLbl val="0"/>
      </c:catAx>
      <c:valAx>
        <c:axId val="2580689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7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[Customers_Dashboard.xlsx]Top Risky Customers!PivotTable3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Risky Customers (Loss Ratio)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Risky Customers'!$B$1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Risky Customers'!$A$2:$A$12</c:f>
              <c:strCache>
                <c:ptCount val="10"/>
                <c:pt idx="0">
                  <c:v>Henry Scott</c:v>
                </c:pt>
                <c:pt idx="1">
                  <c:v>James Hall</c:v>
                </c:pt>
                <c:pt idx="2">
                  <c:v>Kate Taylor</c:v>
                </c:pt>
                <c:pt idx="3">
                  <c:v>Mike Davis</c:v>
                </c:pt>
                <c:pt idx="4">
                  <c:v>Chris Moore</c:v>
                </c:pt>
                <c:pt idx="5">
                  <c:v>Emma Clark</c:v>
                </c:pt>
                <c:pt idx="6">
                  <c:v>Anna Brown</c:v>
                </c:pt>
                <c:pt idx="7">
                  <c:v>Olivia King</c:v>
                </c:pt>
                <c:pt idx="8">
                  <c:v>Sophie Green</c:v>
                </c:pt>
                <c:pt idx="9">
                  <c:v>Daniel Young</c:v>
                </c:pt>
              </c:strCache>
            </c:strRef>
          </c:cat>
          <c:val>
            <c:numRef>
              <c:f>'Top Risky Customers'!$B$2:$B$12</c:f>
              <c:numCache>
                <c:formatCode>General</c:formatCode>
                <c:ptCount val="10"/>
                <c:pt idx="0">
                  <c:v>2</c:v>
                </c:pt>
                <c:pt idx="1">
                  <c:v>1.67</c:v>
                </c:pt>
                <c:pt idx="2">
                  <c:v>1.5</c:v>
                </c:pt>
                <c:pt idx="3">
                  <c:v>1.5</c:v>
                </c:pt>
                <c:pt idx="4">
                  <c:v>1.33</c:v>
                </c:pt>
                <c:pt idx="5">
                  <c:v>1.27</c:v>
                </c:pt>
                <c:pt idx="6">
                  <c:v>1.2</c:v>
                </c:pt>
                <c:pt idx="7">
                  <c:v>1.06</c:v>
                </c:pt>
                <c:pt idx="8">
                  <c:v>0.67</c:v>
                </c:pt>
                <c:pt idx="9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A-4699-A78C-0FCC7276D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9687568"/>
        <c:axId val="379681808"/>
      </c:barChart>
      <c:catAx>
        <c:axId val="379687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81808"/>
        <c:crosses val="autoZero"/>
        <c:auto val="1"/>
        <c:lblAlgn val="ctr"/>
        <c:lblOffset val="100"/>
        <c:noMultiLvlLbl val="0"/>
      </c:catAx>
      <c:valAx>
        <c:axId val="3796818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8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[Customers_Dashboard.xlsx]Dashboard!PivotTable2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Segmentation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Dashboard!$O$5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Dashboard!$N$6:$N$8</c:f>
              <c:strCache>
                <c:ptCount val="3"/>
                <c:pt idx="0">
                  <c:v>High Value</c:v>
                </c:pt>
                <c:pt idx="1">
                  <c:v>Medium Value</c:v>
                </c:pt>
                <c:pt idx="2">
                  <c:v>Low Value</c:v>
                </c:pt>
              </c:strCache>
            </c:strRef>
          </c:cat>
          <c:val>
            <c:numRef>
              <c:f>Dashboard!$O$6:$O$8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8-4CD0-8468-C3063D0E0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2677519"/>
        <c:axId val="602677999"/>
      </c:barChart>
      <c:catAx>
        <c:axId val="60267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7999"/>
        <c:crosses val="autoZero"/>
        <c:auto val="1"/>
        <c:lblAlgn val="ctr"/>
        <c:lblOffset val="100"/>
        <c:noMultiLvlLbl val="0"/>
      </c:catAx>
      <c:valAx>
        <c:axId val="60267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185737</xdr:rowOff>
    </xdr:from>
    <xdr:to>
      <xdr:col>5</xdr:col>
      <xdr:colOff>457200</xdr:colOff>
      <xdr:row>27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A13D6-7722-6C49-C6B6-C1D081196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4762</xdr:rowOff>
    </xdr:from>
    <xdr:to>
      <xdr:col>6</xdr:col>
      <xdr:colOff>171450</xdr:colOff>
      <xdr:row>27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45D525-1697-2DB9-BCE5-DCEB0C4A4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176212</xdr:rowOff>
    </xdr:from>
    <xdr:to>
      <xdr:col>5</xdr:col>
      <xdr:colOff>428625</xdr:colOff>
      <xdr:row>20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EB1C-23F8-49FC-A4FB-11DDF85A8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4762</xdr:rowOff>
    </xdr:from>
    <xdr:to>
      <xdr:col>5</xdr:col>
      <xdr:colOff>457200</xdr:colOff>
      <xdr:row>31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6F067-942C-4DF1-AE2F-8A7ED416E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4762</xdr:rowOff>
    </xdr:from>
    <xdr:to>
      <xdr:col>12</xdr:col>
      <xdr:colOff>171450</xdr:colOff>
      <xdr:row>31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733109-6518-42CD-A89A-B25E86857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17</xdr:row>
      <xdr:rowOff>4762</xdr:rowOff>
    </xdr:from>
    <xdr:to>
      <xdr:col>18</xdr:col>
      <xdr:colOff>28575</xdr:colOff>
      <xdr:row>31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02605C-7A98-E582-465D-916AFD87F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600075</xdr:colOff>
      <xdr:row>40</xdr:row>
      <xdr:rowOff>66675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DC48146-84FB-2F3E-DBEC-6400ECD28A2E}"/>
            </a:ext>
          </a:extLst>
        </xdr:cNvPr>
        <xdr:cNvSpPr txBox="1"/>
      </xdr:nvSpPr>
      <xdr:spPr>
        <a:xfrm>
          <a:off x="1476375" y="7686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</xdr:col>
      <xdr:colOff>457200</xdr:colOff>
      <xdr:row>0</xdr:row>
      <xdr:rowOff>180975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058392C-1153-D4FB-B848-5C494D904995}"/>
            </a:ext>
          </a:extLst>
        </xdr:cNvPr>
        <xdr:cNvSpPr txBox="1"/>
      </xdr:nvSpPr>
      <xdr:spPr>
        <a:xfrm>
          <a:off x="2276475" y="180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1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bamb" refreshedDate="46133.22453240741" createdVersion="8" refreshedVersion="8" minRefreshableVersion="3" recordCount="15" xr:uid="{EF3D6E1D-C091-4BBE-BA9F-A33D4CB7ADFD}">
  <cacheSource type="worksheet">
    <worksheetSource name="customer_segments" r:id="rId2"/>
  </cacheSource>
  <cacheFields count="8">
    <cacheField name="customer_id" numFmtId="0">
      <sharedItems containsSemiMixedTypes="0" containsString="0" containsNumber="1" containsInteger="1" minValue="101" maxValue="115"/>
    </cacheField>
    <cacheField name="first_name" numFmtId="0">
      <sharedItems/>
    </cacheField>
    <cacheField name="last_name" numFmtId="0">
      <sharedItems/>
    </cacheField>
    <cacheField name="total_policies" numFmtId="0">
      <sharedItems containsSemiMixedTypes="0" containsString="0" containsNumber="1" containsInteger="1" minValue="1" maxValue="3"/>
    </cacheField>
    <cacheField name="total_premium" numFmtId="0">
      <sharedItems containsSemiMixedTypes="0" containsString="0" containsNumber="1" containsInteger="1" minValue="150" maxValue="1100"/>
    </cacheField>
    <cacheField name="total_claims" numFmtId="0">
      <sharedItems containsSemiMixedTypes="0" containsString="0" containsNumber="1" containsInteger="1" minValue="50" maxValue="2000"/>
    </cacheField>
    <cacheField name="loss_ratio" numFmtId="0">
      <sharedItems containsSemiMixedTypes="0" containsString="0" containsNumber="1" minValue="0.13" maxValue="2"/>
    </cacheField>
    <cacheField name="customer_segment" numFmtId="0">
      <sharedItems count="3">
        <s v="medium_value"/>
        <s v="low_value"/>
        <s v="high_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bamb" refreshedDate="46133.24378449074" createdVersion="8" refreshedVersion="8" minRefreshableVersion="3" recordCount="15" xr:uid="{3E485926-A048-46EA-ABAA-765041674389}">
  <cacheSource type="worksheet">
    <worksheetSource name="customer_segments"/>
  </cacheSource>
  <cacheFields count="7">
    <cacheField name="customer_id" numFmtId="0">
      <sharedItems containsSemiMixedTypes="0" containsString="0" containsNumber="1" containsInteger="1" minValue="101" maxValue="115"/>
    </cacheField>
    <cacheField name="full_name" numFmtId="0">
      <sharedItems count="15">
        <s v="John Smith"/>
        <s v="Anna Brown"/>
        <s v="Tom Wilson"/>
        <s v="Kate Taylor"/>
        <s v="Mike Davis"/>
        <s v="Sara Miller"/>
        <s v="Chris Moore"/>
        <s v="Emma Clark"/>
        <s v="James Hall"/>
        <s v="Laura Allen"/>
        <s v="Daniel Young"/>
        <s v="Olivia King"/>
        <s v="Henry Scott"/>
        <s v="Sophie Green"/>
        <s v="Jack Adams"/>
      </sharedItems>
    </cacheField>
    <cacheField name="total_policies" numFmtId="0">
      <sharedItems containsSemiMixedTypes="0" containsString="0" containsNumber="1" containsInteger="1" minValue="1" maxValue="3"/>
    </cacheField>
    <cacheField name="total_premium" numFmtId="0">
      <sharedItems containsSemiMixedTypes="0" containsString="0" containsNumber="1" containsInteger="1" minValue="150" maxValue="1100"/>
    </cacheField>
    <cacheField name="total_claims" numFmtId="0">
      <sharedItems containsSemiMixedTypes="0" containsString="0" containsNumber="1" containsInteger="1" minValue="50" maxValue="2000"/>
    </cacheField>
    <cacheField name="loss_ratio" numFmtId="0">
      <sharedItems containsSemiMixedTypes="0" containsString="0" containsNumber="1" minValue="0.13" maxValue="2"/>
    </cacheField>
    <cacheField name="customer_segment" numFmtId="0">
      <sharedItems count="4">
        <s v="medium_value"/>
        <s v="low_value"/>
        <s v="high_value"/>
        <s v="Formula1" f="1"/>
      </sharedItems>
    </cacheField>
  </cacheFields>
  <calculatedItems count="1">
    <calculatedItem>
      <pivotArea cacheIndex="1" outline="0" fieldPosition="0">
        <references count="1">
          <reference field="6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"/>
    <s v="John"/>
    <s v="Smith"/>
    <n v="3"/>
    <n v="470"/>
    <n v="200"/>
    <n v="0.43"/>
    <x v="0"/>
  </r>
  <r>
    <n v="102"/>
    <s v="Anna"/>
    <s v="Brown"/>
    <n v="1"/>
    <n v="250"/>
    <n v="300"/>
    <n v="1.2"/>
    <x v="1"/>
  </r>
  <r>
    <n v="103"/>
    <s v="Tom"/>
    <s v="Wilson"/>
    <n v="2"/>
    <n v="750"/>
    <n v="100"/>
    <n v="0.13"/>
    <x v="0"/>
  </r>
  <r>
    <n v="104"/>
    <s v="Kate"/>
    <s v="Taylor"/>
    <n v="1"/>
    <n v="600"/>
    <n v="900"/>
    <n v="1.5"/>
    <x v="0"/>
  </r>
  <r>
    <n v="105"/>
    <s v="Mike"/>
    <s v="Davis"/>
    <n v="1"/>
    <n v="800"/>
    <n v="1200"/>
    <n v="1.5"/>
    <x v="0"/>
  </r>
  <r>
    <n v="106"/>
    <s v="Sara"/>
    <s v="Miller"/>
    <n v="1"/>
    <n v="150"/>
    <n v="80"/>
    <n v="0.53"/>
    <x v="1"/>
  </r>
  <r>
    <n v="107"/>
    <s v="Chris"/>
    <s v="Moore"/>
    <n v="1"/>
    <n v="300"/>
    <n v="400"/>
    <n v="1.33"/>
    <x v="1"/>
  </r>
  <r>
    <n v="108"/>
    <s v="Emma"/>
    <s v="Clark"/>
    <n v="2"/>
    <n v="1100"/>
    <n v="1400"/>
    <n v="1.27"/>
    <x v="2"/>
  </r>
  <r>
    <n v="109"/>
    <s v="James"/>
    <s v="Hall"/>
    <n v="1"/>
    <n v="900"/>
    <n v="1500"/>
    <n v="1.67"/>
    <x v="2"/>
  </r>
  <r>
    <n v="110"/>
    <s v="Laura"/>
    <s v="Allen"/>
    <n v="1"/>
    <n v="200"/>
    <n v="50"/>
    <n v="0.25"/>
    <x v="1"/>
  </r>
  <r>
    <n v="111"/>
    <s v="Daniel"/>
    <s v="Young"/>
    <n v="1"/>
    <n v="350"/>
    <n v="200"/>
    <n v="0.56999999999999995"/>
    <x v="1"/>
  </r>
  <r>
    <n v="112"/>
    <s v="Olivia"/>
    <s v="King"/>
    <n v="2"/>
    <n v="800"/>
    <n v="850"/>
    <n v="1.06"/>
    <x v="0"/>
  </r>
  <r>
    <n v="113"/>
    <s v="Henry"/>
    <s v="Scott"/>
    <n v="1"/>
    <n v="1000"/>
    <n v="2000"/>
    <n v="2"/>
    <x v="2"/>
  </r>
  <r>
    <n v="114"/>
    <s v="Sophie"/>
    <s v="Green"/>
    <n v="1"/>
    <n v="450"/>
    <n v="300"/>
    <n v="0.67"/>
    <x v="0"/>
  </r>
  <r>
    <n v="115"/>
    <s v="Jack"/>
    <s v="Adams"/>
    <n v="1"/>
    <n v="220"/>
    <n v="100"/>
    <n v="0.4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"/>
    <x v="0"/>
    <n v="3"/>
    <n v="470"/>
    <n v="200"/>
    <n v="0.43"/>
    <x v="0"/>
  </r>
  <r>
    <n v="102"/>
    <x v="1"/>
    <n v="1"/>
    <n v="250"/>
    <n v="300"/>
    <n v="1.2"/>
    <x v="1"/>
  </r>
  <r>
    <n v="103"/>
    <x v="2"/>
    <n v="2"/>
    <n v="750"/>
    <n v="100"/>
    <n v="0.13"/>
    <x v="0"/>
  </r>
  <r>
    <n v="104"/>
    <x v="3"/>
    <n v="1"/>
    <n v="600"/>
    <n v="900"/>
    <n v="1.5"/>
    <x v="0"/>
  </r>
  <r>
    <n v="105"/>
    <x v="4"/>
    <n v="1"/>
    <n v="800"/>
    <n v="1200"/>
    <n v="1.5"/>
    <x v="0"/>
  </r>
  <r>
    <n v="106"/>
    <x v="5"/>
    <n v="1"/>
    <n v="150"/>
    <n v="80"/>
    <n v="0.53"/>
    <x v="1"/>
  </r>
  <r>
    <n v="107"/>
    <x v="6"/>
    <n v="1"/>
    <n v="300"/>
    <n v="400"/>
    <n v="1.33"/>
    <x v="1"/>
  </r>
  <r>
    <n v="108"/>
    <x v="7"/>
    <n v="2"/>
    <n v="1100"/>
    <n v="1400"/>
    <n v="1.27"/>
    <x v="2"/>
  </r>
  <r>
    <n v="109"/>
    <x v="8"/>
    <n v="1"/>
    <n v="900"/>
    <n v="1500"/>
    <n v="1.67"/>
    <x v="2"/>
  </r>
  <r>
    <n v="110"/>
    <x v="9"/>
    <n v="1"/>
    <n v="200"/>
    <n v="50"/>
    <n v="0.25"/>
    <x v="1"/>
  </r>
  <r>
    <n v="111"/>
    <x v="10"/>
    <n v="1"/>
    <n v="350"/>
    <n v="200"/>
    <n v="0.56999999999999995"/>
    <x v="1"/>
  </r>
  <r>
    <n v="112"/>
    <x v="11"/>
    <n v="2"/>
    <n v="800"/>
    <n v="850"/>
    <n v="1.06"/>
    <x v="0"/>
  </r>
  <r>
    <n v="113"/>
    <x v="12"/>
    <n v="1"/>
    <n v="1000"/>
    <n v="2000"/>
    <n v="2"/>
    <x v="2"/>
  </r>
  <r>
    <n v="114"/>
    <x v="13"/>
    <n v="1"/>
    <n v="450"/>
    <n v="300"/>
    <n v="0.67"/>
    <x v="0"/>
  </r>
  <r>
    <n v="115"/>
    <x v="14"/>
    <n v="1"/>
    <n v="220"/>
    <n v="100"/>
    <n v="0.4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7836C-A951-4507-9C2B-37A53C64B5B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2" firstHeaderRow="1" firstDataRow="1" firstDataCol="1"/>
  <pivotFields count="7">
    <pivotField showAll="0"/>
    <pivotField axis="axisRow" showAll="0" measureFilter="1" sortType="descending">
      <items count="16">
        <item x="1"/>
        <item x="6"/>
        <item x="10"/>
        <item x="7"/>
        <item x="12"/>
        <item x="14"/>
        <item x="8"/>
        <item x="0"/>
        <item x="3"/>
        <item x="9"/>
        <item x="4"/>
        <item x="11"/>
        <item x="5"/>
        <item x="1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5">
        <item x="2"/>
        <item x="1"/>
        <item x="0"/>
        <item f="1" x="3"/>
        <item t="default"/>
      </items>
    </pivotField>
  </pivotFields>
  <rowFields count="1">
    <field x="1"/>
  </rowFields>
  <rowItems count="11">
    <i>
      <x v="3"/>
    </i>
    <i>
      <x v="4"/>
    </i>
    <i>
      <x v="6"/>
    </i>
    <i>
      <x v="11"/>
    </i>
    <i>
      <x v="10"/>
    </i>
    <i>
      <x v="14"/>
    </i>
    <i>
      <x v="8"/>
    </i>
    <i>
      <x v="7"/>
    </i>
    <i>
      <x v="13"/>
    </i>
    <i>
      <x v="2"/>
    </i>
    <i t="grand">
      <x/>
    </i>
  </rowItems>
  <colItems count="1">
    <i/>
  </colItems>
  <dataFields count="1">
    <dataField name="Sum of total_premium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B0DF8-052B-45B3-91F6-735E86FB37A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2" firstHeaderRow="1" firstDataRow="1" firstDataCol="1"/>
  <pivotFields count="7">
    <pivotField showAll="0"/>
    <pivotField axis="axisRow" showAll="0" measureFilter="1" sortType="descending">
      <items count="16">
        <item x="1"/>
        <item x="6"/>
        <item x="10"/>
        <item x="7"/>
        <item x="12"/>
        <item x="14"/>
        <item x="8"/>
        <item x="0"/>
        <item x="3"/>
        <item x="9"/>
        <item x="4"/>
        <item x="11"/>
        <item x="5"/>
        <item x="1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5">
        <item x="2"/>
        <item x="1"/>
        <item x="0"/>
        <item f="1" x="3"/>
        <item t="default"/>
      </items>
    </pivotField>
  </pivotFields>
  <rowFields count="1">
    <field x="1"/>
  </rowFields>
  <rowItems count="11">
    <i>
      <x v="4"/>
    </i>
    <i>
      <x v="6"/>
    </i>
    <i>
      <x v="8"/>
    </i>
    <i>
      <x v="10"/>
    </i>
    <i>
      <x v="1"/>
    </i>
    <i>
      <x v="3"/>
    </i>
    <i>
      <x/>
    </i>
    <i>
      <x v="11"/>
    </i>
    <i>
      <x v="13"/>
    </i>
    <i>
      <x v="2"/>
    </i>
    <i t="grand">
      <x/>
    </i>
  </rowItems>
  <colItems count="1">
    <i/>
  </colItems>
  <dataFields count="1">
    <dataField name="Sum of loss_ratio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1A62A-84E9-4766-B142-34F33FAF830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5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FA1FE-3531-4AF4-95B3-5AE2194840E9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Customer">
  <location ref="A5:B15" firstHeaderRow="1" firstDataRow="1" firstDataCol="1"/>
  <pivotFields count="7">
    <pivotField showAll="0"/>
    <pivotField axis="axisRow" showAll="0" measureFilter="1" sortType="descending">
      <items count="16">
        <item x="1"/>
        <item x="6"/>
        <item x="10"/>
        <item x="7"/>
        <item x="12"/>
        <item x="14"/>
        <item x="8"/>
        <item x="0"/>
        <item x="3"/>
        <item x="9"/>
        <item x="4"/>
        <item x="11"/>
        <item x="5"/>
        <item x="1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5">
        <item x="2"/>
        <item x="1"/>
        <item x="0"/>
        <item f="1" x="3"/>
        <item t="default"/>
      </items>
    </pivotField>
  </pivotFields>
  <rowFields count="1">
    <field x="1"/>
  </rowFields>
  <rowItems count="10">
    <i>
      <x v="3"/>
    </i>
    <i>
      <x v="4"/>
    </i>
    <i>
      <x v="6"/>
    </i>
    <i>
      <x v="11"/>
    </i>
    <i>
      <x v="10"/>
    </i>
    <i>
      <x v="14"/>
    </i>
    <i>
      <x v="8"/>
    </i>
    <i>
      <x v="7"/>
    </i>
    <i>
      <x v="13"/>
    </i>
    <i>
      <x v="2"/>
    </i>
  </rowItems>
  <colItems count="1">
    <i/>
  </colItems>
  <dataFields count="1">
    <dataField name="Total Premium" fld="3" baseField="0" baseItem="0" numFmtId="44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0E36E-1975-434B-8635-09BC2900BB7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Customer Segment">
  <location ref="N5:O8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n="High Value" x="2"/>
        <item n="Medium Value" x="0"/>
        <item n="Low Value" x="1"/>
        <item t="default"/>
      </items>
    </pivotField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Count of customer_id" fld="0" subtotal="count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F5A84-93A4-40AA-92A1-D80CDDFD3599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Customer">
  <location ref="G5:H15" firstHeaderRow="1" firstDataRow="1" firstDataCol="1"/>
  <pivotFields count="7">
    <pivotField showAll="0"/>
    <pivotField axis="axisRow" showAll="0" measureFilter="1" sortType="descending">
      <items count="16">
        <item x="1"/>
        <item x="6"/>
        <item x="10"/>
        <item x="7"/>
        <item x="12"/>
        <item x="14"/>
        <item x="8"/>
        <item x="0"/>
        <item x="3"/>
        <item x="9"/>
        <item x="4"/>
        <item x="11"/>
        <item x="5"/>
        <item x="1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5">
        <item x="2"/>
        <item x="1"/>
        <item x="0"/>
        <item f="1" x="3"/>
        <item t="default"/>
      </items>
    </pivotField>
  </pivotFields>
  <rowFields count="1">
    <field x="1"/>
  </rowFields>
  <rowItems count="10">
    <i>
      <x v="4"/>
    </i>
    <i>
      <x v="6"/>
    </i>
    <i>
      <x v="8"/>
    </i>
    <i>
      <x v="10"/>
    </i>
    <i>
      <x v="1"/>
    </i>
    <i>
      <x v="3"/>
    </i>
    <i>
      <x/>
    </i>
    <i>
      <x v="11"/>
    </i>
    <i>
      <x v="13"/>
    </i>
    <i>
      <x v="2"/>
    </i>
  </rowItems>
  <colItems count="1">
    <i/>
  </colItems>
  <dataFields count="1">
    <dataField name="Loss Ratio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DA3B44-D9F1-4E7D-9B7F-C28AAB62FC38}" autoFormatId="16" applyNumberFormats="0" applyBorderFormats="0" applyFontFormats="0" applyPatternFormats="0" applyAlignmentFormats="0" applyWidthHeightFormats="0">
  <queryTableRefresh nextId="14">
    <queryTableFields count="9">
      <queryTableField id="1" name="customer_id" tableColumnId="1"/>
      <queryTableField id="9" dataBound="0" tableColumnId="9"/>
      <queryTableField id="10" name="first_name" tableColumnId="2"/>
      <queryTableField id="11" name="last_name" tableColumnId="3"/>
      <queryTableField id="4" name="total_policies" tableColumnId="4"/>
      <queryTableField id="5" name="total_premium" tableColumnId="5"/>
      <queryTableField id="6" name="total_claims" tableColumnId="6"/>
      <queryTableField id="7" name="loss_ratio" tableColumnId="7"/>
      <queryTableField id="8" name="customer_segment" tableColumnId="8"/>
    </queryTableFields>
    <queryTableDeletedFields count="2">
      <deletedField name="first_name"/>
      <deletedField name="last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8A5AB8-E730-41B2-9855-3451ECE768E1}" name="customer_segments" displayName="customer_segments" ref="A1:I16" tableType="queryTable" totalsRowShown="0">
  <autoFilter ref="A1:I16" xr:uid="{0C8A5AB8-E730-41B2-9855-3451ECE768E1}"/>
  <tableColumns count="9">
    <tableColumn id="1" xr3:uid="{93109767-D033-4899-AA55-034133293BB6}" uniqueName="1" name="customer_id" queryTableFieldId="1"/>
    <tableColumn id="9" xr3:uid="{7820641F-E741-4F8F-A9F9-898A9E86E844}" uniqueName="9" name="full_name" queryTableFieldId="9" dataDxfId="3"/>
    <tableColumn id="2" xr3:uid="{ACB106FE-BA04-4CF5-B5DE-0BEA38AEC7AD}" uniqueName="2" name="first_name" queryTableFieldId="10" dataDxfId="2"/>
    <tableColumn id="3" xr3:uid="{B222B418-B734-4982-BB56-223D18D4A721}" uniqueName="3" name="last_name" queryTableFieldId="11" dataDxfId="1"/>
    <tableColumn id="4" xr3:uid="{7938DBA7-58D5-4EAD-B842-E704A62FB6BF}" uniqueName="4" name="total_policies" queryTableFieldId="4"/>
    <tableColumn id="5" xr3:uid="{39BE581B-BE1A-49AA-9830-4E67E9405351}" uniqueName="5" name="total_premium" queryTableFieldId="5"/>
    <tableColumn id="6" xr3:uid="{188C3BA1-D6A0-49E3-B5B9-FFFB28C89892}" uniqueName="6" name="total_claims" queryTableFieldId="6"/>
    <tableColumn id="7" xr3:uid="{F514EC52-CE1E-470D-B32F-CC4C09728F41}" uniqueName="7" name="loss_ratio" queryTableFieldId="7"/>
    <tableColumn id="8" xr3:uid="{8EE7BE33-9FA9-445D-AF6A-6AFE6FA3C5FC}" uniqueName="8" name="customer_segment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4721-BF2F-4EE4-B635-F5B21AD20B10}">
  <dimension ref="A1:I16"/>
  <sheetViews>
    <sheetView workbookViewId="0">
      <selection activeCell="C5" sqref="C5"/>
    </sheetView>
  </sheetViews>
  <sheetFormatPr defaultRowHeight="15" x14ac:dyDescent="0.25"/>
  <cols>
    <col min="1" max="1" width="14.28515625" bestFit="1" customWidth="1"/>
    <col min="2" max="2" width="13.140625" bestFit="1" customWidth="1"/>
    <col min="3" max="3" width="12.85546875" bestFit="1" customWidth="1"/>
    <col min="4" max="4" width="12.42578125" bestFit="1" customWidth="1"/>
    <col min="5" max="5" width="15.42578125" bestFit="1" customWidth="1"/>
    <col min="6" max="6" width="16.7109375" bestFit="1" customWidth="1"/>
    <col min="7" max="7" width="14" bestFit="1" customWidth="1"/>
    <col min="8" max="8" width="11.85546875" bestFit="1" customWidth="1"/>
    <col min="9" max="9" width="20.5703125" customWidth="1"/>
  </cols>
  <sheetData>
    <row r="1" spans="1:9" x14ac:dyDescent="0.25">
      <c r="A1" t="s">
        <v>0</v>
      </c>
      <c r="B1" t="s">
        <v>9</v>
      </c>
      <c r="C1" t="s">
        <v>38</v>
      </c>
      <c r="D1" t="s">
        <v>39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101</v>
      </c>
      <c r="B2" t="s">
        <v>10</v>
      </c>
      <c r="C2" t="s">
        <v>40</v>
      </c>
      <c r="D2" t="s">
        <v>41</v>
      </c>
      <c r="E2">
        <v>3</v>
      </c>
      <c r="F2">
        <v>470</v>
      </c>
      <c r="G2">
        <v>200</v>
      </c>
      <c r="H2">
        <v>0.43</v>
      </c>
      <c r="I2" t="s">
        <v>6</v>
      </c>
    </row>
    <row r="3" spans="1:9" x14ac:dyDescent="0.25">
      <c r="A3">
        <v>102</v>
      </c>
      <c r="B3" t="s">
        <v>11</v>
      </c>
      <c r="C3" t="s">
        <v>42</v>
      </c>
      <c r="D3" t="s">
        <v>43</v>
      </c>
      <c r="E3">
        <v>1</v>
      </c>
      <c r="F3">
        <v>250</v>
      </c>
      <c r="G3">
        <v>300</v>
      </c>
      <c r="H3">
        <v>1.2</v>
      </c>
      <c r="I3" t="s">
        <v>7</v>
      </c>
    </row>
    <row r="4" spans="1:9" x14ac:dyDescent="0.25">
      <c r="A4">
        <v>103</v>
      </c>
      <c r="B4" t="s">
        <v>12</v>
      </c>
      <c r="C4" t="s">
        <v>44</v>
      </c>
      <c r="D4" t="s">
        <v>45</v>
      </c>
      <c r="E4">
        <v>2</v>
      </c>
      <c r="F4">
        <v>750</v>
      </c>
      <c r="G4">
        <v>100</v>
      </c>
      <c r="H4">
        <v>0.13</v>
      </c>
      <c r="I4" t="s">
        <v>6</v>
      </c>
    </row>
    <row r="5" spans="1:9" x14ac:dyDescent="0.25">
      <c r="A5">
        <v>104</v>
      </c>
      <c r="B5" t="s">
        <v>13</v>
      </c>
      <c r="C5" t="s">
        <v>46</v>
      </c>
      <c r="D5" t="s">
        <v>47</v>
      </c>
      <c r="E5">
        <v>1</v>
      </c>
      <c r="F5">
        <v>600</v>
      </c>
      <c r="G5">
        <v>900</v>
      </c>
      <c r="H5">
        <v>1.5</v>
      </c>
      <c r="I5" t="s">
        <v>6</v>
      </c>
    </row>
    <row r="6" spans="1:9" x14ac:dyDescent="0.25">
      <c r="A6">
        <v>105</v>
      </c>
      <c r="B6" t="s">
        <v>14</v>
      </c>
      <c r="C6" t="s">
        <v>48</v>
      </c>
      <c r="D6" t="s">
        <v>49</v>
      </c>
      <c r="E6">
        <v>1</v>
      </c>
      <c r="F6">
        <v>800</v>
      </c>
      <c r="G6">
        <v>1200</v>
      </c>
      <c r="H6">
        <v>1.5</v>
      </c>
      <c r="I6" t="s">
        <v>6</v>
      </c>
    </row>
    <row r="7" spans="1:9" x14ac:dyDescent="0.25">
      <c r="A7">
        <v>106</v>
      </c>
      <c r="B7" t="s">
        <v>15</v>
      </c>
      <c r="C7" t="s">
        <v>50</v>
      </c>
      <c r="D7" t="s">
        <v>51</v>
      </c>
      <c r="E7">
        <v>1</v>
      </c>
      <c r="F7">
        <v>150</v>
      </c>
      <c r="G7">
        <v>80</v>
      </c>
      <c r="H7">
        <v>0.53</v>
      </c>
      <c r="I7" t="s">
        <v>7</v>
      </c>
    </row>
    <row r="8" spans="1:9" x14ac:dyDescent="0.25">
      <c r="A8">
        <v>107</v>
      </c>
      <c r="B8" t="s">
        <v>16</v>
      </c>
      <c r="C8" t="s">
        <v>52</v>
      </c>
      <c r="D8" t="s">
        <v>53</v>
      </c>
      <c r="E8">
        <v>1</v>
      </c>
      <c r="F8">
        <v>300</v>
      </c>
      <c r="G8">
        <v>400</v>
      </c>
      <c r="H8">
        <v>1.33</v>
      </c>
      <c r="I8" t="s">
        <v>7</v>
      </c>
    </row>
    <row r="9" spans="1:9" x14ac:dyDescent="0.25">
      <c r="A9">
        <v>108</v>
      </c>
      <c r="B9" t="s">
        <v>17</v>
      </c>
      <c r="C9" t="s">
        <v>54</v>
      </c>
      <c r="D9" t="s">
        <v>55</v>
      </c>
      <c r="E9">
        <v>2</v>
      </c>
      <c r="F9">
        <v>1100</v>
      </c>
      <c r="G9">
        <v>1400</v>
      </c>
      <c r="H9">
        <v>1.27</v>
      </c>
      <c r="I9" t="s">
        <v>8</v>
      </c>
    </row>
    <row r="10" spans="1:9" x14ac:dyDescent="0.25">
      <c r="A10">
        <v>109</v>
      </c>
      <c r="B10" t="s">
        <v>18</v>
      </c>
      <c r="C10" t="s">
        <v>56</v>
      </c>
      <c r="D10" t="s">
        <v>57</v>
      </c>
      <c r="E10">
        <v>1</v>
      </c>
      <c r="F10">
        <v>900</v>
      </c>
      <c r="G10">
        <v>1500</v>
      </c>
      <c r="H10">
        <v>1.67</v>
      </c>
      <c r="I10" t="s">
        <v>8</v>
      </c>
    </row>
    <row r="11" spans="1:9" x14ac:dyDescent="0.25">
      <c r="A11">
        <v>110</v>
      </c>
      <c r="B11" t="s">
        <v>19</v>
      </c>
      <c r="C11" t="s">
        <v>58</v>
      </c>
      <c r="D11" t="s">
        <v>59</v>
      </c>
      <c r="E11">
        <v>1</v>
      </c>
      <c r="F11">
        <v>200</v>
      </c>
      <c r="G11">
        <v>50</v>
      </c>
      <c r="H11">
        <v>0.25</v>
      </c>
      <c r="I11" t="s">
        <v>7</v>
      </c>
    </row>
    <row r="12" spans="1:9" x14ac:dyDescent="0.25">
      <c r="A12">
        <v>111</v>
      </c>
      <c r="B12" t="s">
        <v>20</v>
      </c>
      <c r="C12" t="s">
        <v>60</v>
      </c>
      <c r="D12" t="s">
        <v>61</v>
      </c>
      <c r="E12">
        <v>1</v>
      </c>
      <c r="F12">
        <v>350</v>
      </c>
      <c r="G12">
        <v>200</v>
      </c>
      <c r="H12">
        <v>0.56999999999999995</v>
      </c>
      <c r="I12" t="s">
        <v>7</v>
      </c>
    </row>
    <row r="13" spans="1:9" x14ac:dyDescent="0.25">
      <c r="A13">
        <v>112</v>
      </c>
      <c r="B13" t="s">
        <v>21</v>
      </c>
      <c r="C13" t="s">
        <v>62</v>
      </c>
      <c r="D13" t="s">
        <v>63</v>
      </c>
      <c r="E13">
        <v>2</v>
      </c>
      <c r="F13">
        <v>800</v>
      </c>
      <c r="G13">
        <v>850</v>
      </c>
      <c r="H13">
        <v>1.06</v>
      </c>
      <c r="I13" t="s">
        <v>6</v>
      </c>
    </row>
    <row r="14" spans="1:9" x14ac:dyDescent="0.25">
      <c r="A14">
        <v>113</v>
      </c>
      <c r="B14" t="s">
        <v>22</v>
      </c>
      <c r="C14" t="s">
        <v>64</v>
      </c>
      <c r="D14" t="s">
        <v>65</v>
      </c>
      <c r="E14">
        <v>1</v>
      </c>
      <c r="F14">
        <v>1000</v>
      </c>
      <c r="G14">
        <v>2000</v>
      </c>
      <c r="H14">
        <v>2</v>
      </c>
      <c r="I14" t="s">
        <v>8</v>
      </c>
    </row>
    <row r="15" spans="1:9" x14ac:dyDescent="0.25">
      <c r="A15">
        <v>114</v>
      </c>
      <c r="B15" t="s">
        <v>23</v>
      </c>
      <c r="C15" t="s">
        <v>66</v>
      </c>
      <c r="D15" t="s">
        <v>67</v>
      </c>
      <c r="E15">
        <v>1</v>
      </c>
      <c r="F15">
        <v>450</v>
      </c>
      <c r="G15">
        <v>300</v>
      </c>
      <c r="H15">
        <v>0.67</v>
      </c>
      <c r="I15" t="s">
        <v>6</v>
      </c>
    </row>
    <row r="16" spans="1:9" x14ac:dyDescent="0.25">
      <c r="A16">
        <v>115</v>
      </c>
      <c r="B16" t="s">
        <v>24</v>
      </c>
      <c r="C16" t="s">
        <v>68</v>
      </c>
      <c r="D16" t="s">
        <v>69</v>
      </c>
      <c r="E16">
        <v>1</v>
      </c>
      <c r="F16">
        <v>220</v>
      </c>
      <c r="G16">
        <v>100</v>
      </c>
      <c r="H16">
        <v>0.45</v>
      </c>
      <c r="I16" t="s">
        <v>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A515-C4FB-4D50-93BA-CDFDE8AAE993}">
  <dimension ref="A1:B12"/>
  <sheetViews>
    <sheetView workbookViewId="0">
      <selection sqref="A1:F28"/>
    </sheetView>
  </sheetViews>
  <sheetFormatPr defaultRowHeight="15" x14ac:dyDescent="0.25"/>
  <cols>
    <col min="1" max="1" width="13.140625" bestFit="1" customWidth="1"/>
    <col min="2" max="2" width="21.140625" bestFit="1" customWidth="1"/>
  </cols>
  <sheetData>
    <row r="1" spans="1:2" x14ac:dyDescent="0.25">
      <c r="A1" s="1" t="s">
        <v>25</v>
      </c>
      <c r="B1" t="s">
        <v>27</v>
      </c>
    </row>
    <row r="2" spans="1:2" x14ac:dyDescent="0.25">
      <c r="A2" s="2" t="s">
        <v>17</v>
      </c>
      <c r="B2">
        <v>1100</v>
      </c>
    </row>
    <row r="3" spans="1:2" x14ac:dyDescent="0.25">
      <c r="A3" s="2" t="s">
        <v>22</v>
      </c>
      <c r="B3">
        <v>1000</v>
      </c>
    </row>
    <row r="4" spans="1:2" x14ac:dyDescent="0.25">
      <c r="A4" s="2" t="s">
        <v>18</v>
      </c>
      <c r="B4">
        <v>900</v>
      </c>
    </row>
    <row r="5" spans="1:2" x14ac:dyDescent="0.25">
      <c r="A5" s="2" t="s">
        <v>21</v>
      </c>
      <c r="B5">
        <v>800</v>
      </c>
    </row>
    <row r="6" spans="1:2" x14ac:dyDescent="0.25">
      <c r="A6" s="2" t="s">
        <v>14</v>
      </c>
      <c r="B6">
        <v>800</v>
      </c>
    </row>
    <row r="7" spans="1:2" x14ac:dyDescent="0.25">
      <c r="A7" s="2" t="s">
        <v>12</v>
      </c>
      <c r="B7">
        <v>750</v>
      </c>
    </row>
    <row r="8" spans="1:2" x14ac:dyDescent="0.25">
      <c r="A8" s="2" t="s">
        <v>13</v>
      </c>
      <c r="B8">
        <v>600</v>
      </c>
    </row>
    <row r="9" spans="1:2" x14ac:dyDescent="0.25">
      <c r="A9" s="2" t="s">
        <v>10</v>
      </c>
      <c r="B9">
        <v>470</v>
      </c>
    </row>
    <row r="10" spans="1:2" x14ac:dyDescent="0.25">
      <c r="A10" s="2" t="s">
        <v>23</v>
      </c>
      <c r="B10">
        <v>450</v>
      </c>
    </row>
    <row r="11" spans="1:2" x14ac:dyDescent="0.25">
      <c r="A11" s="2" t="s">
        <v>20</v>
      </c>
      <c r="B11">
        <v>350</v>
      </c>
    </row>
    <row r="12" spans="1:2" x14ac:dyDescent="0.25">
      <c r="A12" s="2" t="s">
        <v>26</v>
      </c>
      <c r="B12">
        <v>7220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C8B8-26DB-4750-BC6C-216D6BAD1B64}">
  <dimension ref="A1:B12"/>
  <sheetViews>
    <sheetView workbookViewId="0">
      <selection sqref="A1:G28"/>
    </sheetView>
  </sheetViews>
  <sheetFormatPr defaultRowHeight="15" x14ac:dyDescent="0.25"/>
  <cols>
    <col min="1" max="1" width="13.140625" bestFit="1" customWidth="1"/>
    <col min="2" max="2" width="16.28515625" bestFit="1" customWidth="1"/>
  </cols>
  <sheetData>
    <row r="1" spans="1:2" x14ac:dyDescent="0.25">
      <c r="A1" s="1" t="s">
        <v>25</v>
      </c>
      <c r="B1" t="s">
        <v>28</v>
      </c>
    </row>
    <row r="2" spans="1:2" x14ac:dyDescent="0.25">
      <c r="A2" s="2" t="s">
        <v>22</v>
      </c>
      <c r="B2">
        <v>2</v>
      </c>
    </row>
    <row r="3" spans="1:2" x14ac:dyDescent="0.25">
      <c r="A3" s="2" t="s">
        <v>18</v>
      </c>
      <c r="B3">
        <v>1.67</v>
      </c>
    </row>
    <row r="4" spans="1:2" x14ac:dyDescent="0.25">
      <c r="A4" s="2" t="s">
        <v>13</v>
      </c>
      <c r="B4">
        <v>1.5</v>
      </c>
    </row>
    <row r="5" spans="1:2" x14ac:dyDescent="0.25">
      <c r="A5" s="2" t="s">
        <v>14</v>
      </c>
      <c r="B5">
        <v>1.5</v>
      </c>
    </row>
    <row r="6" spans="1:2" x14ac:dyDescent="0.25">
      <c r="A6" s="2" t="s">
        <v>16</v>
      </c>
      <c r="B6">
        <v>1.33</v>
      </c>
    </row>
    <row r="7" spans="1:2" x14ac:dyDescent="0.25">
      <c r="A7" s="2" t="s">
        <v>17</v>
      </c>
      <c r="B7">
        <v>1.27</v>
      </c>
    </row>
    <row r="8" spans="1:2" x14ac:dyDescent="0.25">
      <c r="A8" s="2" t="s">
        <v>11</v>
      </c>
      <c r="B8">
        <v>1.2</v>
      </c>
    </row>
    <row r="9" spans="1:2" x14ac:dyDescent="0.25">
      <c r="A9" s="2" t="s">
        <v>21</v>
      </c>
      <c r="B9">
        <v>1.06</v>
      </c>
    </row>
    <row r="10" spans="1:2" x14ac:dyDescent="0.25">
      <c r="A10" s="2" t="s">
        <v>23</v>
      </c>
      <c r="B10">
        <v>0.67</v>
      </c>
    </row>
    <row r="11" spans="1:2" x14ac:dyDescent="0.25">
      <c r="A11" s="2" t="s">
        <v>20</v>
      </c>
      <c r="B11">
        <v>0.56999999999999995</v>
      </c>
    </row>
    <row r="12" spans="1:2" x14ac:dyDescent="0.25">
      <c r="A12" s="2" t="s">
        <v>26</v>
      </c>
      <c r="B12">
        <v>12.77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7A4B-39DA-4228-B9B0-A2CBB310220A}">
  <dimension ref="A1:B5"/>
  <sheetViews>
    <sheetView workbookViewId="0">
      <selection sqref="A1:F21"/>
    </sheetView>
  </sheetViews>
  <sheetFormatPr defaultRowHeight="15" x14ac:dyDescent="0.25"/>
  <cols>
    <col min="1" max="1" width="14.42578125" bestFit="1" customWidth="1"/>
    <col min="2" max="2" width="20.28515625" bestFit="1" customWidth="1"/>
  </cols>
  <sheetData>
    <row r="1" spans="1:2" x14ac:dyDescent="0.25">
      <c r="A1" s="1" t="s">
        <v>25</v>
      </c>
      <c r="B1" t="s">
        <v>29</v>
      </c>
    </row>
    <row r="2" spans="1:2" x14ac:dyDescent="0.25">
      <c r="A2" s="2" t="s">
        <v>8</v>
      </c>
      <c r="B2">
        <v>3</v>
      </c>
    </row>
    <row r="3" spans="1:2" x14ac:dyDescent="0.25">
      <c r="A3" s="2" t="s">
        <v>6</v>
      </c>
      <c r="B3">
        <v>6</v>
      </c>
    </row>
    <row r="4" spans="1:2" x14ac:dyDescent="0.25">
      <c r="A4" s="2" t="s">
        <v>7</v>
      </c>
      <c r="B4">
        <v>6</v>
      </c>
    </row>
    <row r="5" spans="1:2" x14ac:dyDescent="0.25">
      <c r="A5" s="2" t="s">
        <v>26</v>
      </c>
      <c r="B5">
        <v>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838A-289B-408C-A60B-0F4B472DE491}">
  <dimension ref="A1:O38"/>
  <sheetViews>
    <sheetView tabSelected="1" zoomScale="90" zoomScaleNormal="90" workbookViewId="0">
      <selection activeCell="C1" sqref="C1"/>
    </sheetView>
  </sheetViews>
  <sheetFormatPr defaultRowHeight="15" x14ac:dyDescent="0.25"/>
  <cols>
    <col min="1" max="1" width="13.140625" bestFit="1" customWidth="1"/>
    <col min="2" max="2" width="14.140625" bestFit="1" customWidth="1"/>
    <col min="3" max="3" width="10" bestFit="1" customWidth="1"/>
    <col min="7" max="7" width="13.140625" bestFit="1" customWidth="1"/>
    <col min="8" max="8" width="9.7109375" bestFit="1" customWidth="1"/>
    <col min="14" max="14" width="20.42578125" bestFit="1" customWidth="1"/>
    <col min="15" max="15" width="20.28515625" bestFit="1" customWidth="1"/>
  </cols>
  <sheetData>
    <row r="1" spans="1:15" x14ac:dyDescent="0.25">
      <c r="A1" s="6" t="s">
        <v>30</v>
      </c>
      <c r="B1" s="6"/>
      <c r="C1" s="3">
        <f>SUM(customer_segments[total_premium])</f>
        <v>8340</v>
      </c>
    </row>
    <row r="2" spans="1:15" x14ac:dyDescent="0.25">
      <c r="A2" s="6" t="s">
        <v>31</v>
      </c>
      <c r="B2" s="6"/>
      <c r="C2" s="3">
        <f>SUM(customer_segments[total_claims])</f>
        <v>9580</v>
      </c>
    </row>
    <row r="3" spans="1:15" x14ac:dyDescent="0.25">
      <c r="A3" s="6" t="s">
        <v>70</v>
      </c>
      <c r="B3" s="6"/>
      <c r="C3" s="4">
        <f>AVERAGE(customer_segments[loss_ratio])</f>
        <v>0.97066666666666668</v>
      </c>
    </row>
    <row r="5" spans="1:15" x14ac:dyDescent="0.25">
      <c r="A5" s="1" t="s">
        <v>32</v>
      </c>
      <c r="B5" t="s">
        <v>30</v>
      </c>
      <c r="G5" s="1" t="s">
        <v>32</v>
      </c>
      <c r="H5" t="s">
        <v>33</v>
      </c>
      <c r="N5" s="1" t="s">
        <v>34</v>
      </c>
      <c r="O5" t="s">
        <v>29</v>
      </c>
    </row>
    <row r="6" spans="1:15" x14ac:dyDescent="0.25">
      <c r="A6" s="2" t="s">
        <v>17</v>
      </c>
      <c r="B6" s="5">
        <v>1100</v>
      </c>
      <c r="G6" s="2" t="s">
        <v>22</v>
      </c>
      <c r="H6">
        <v>2</v>
      </c>
      <c r="N6" s="2" t="s">
        <v>35</v>
      </c>
      <c r="O6">
        <v>3</v>
      </c>
    </row>
    <row r="7" spans="1:15" x14ac:dyDescent="0.25">
      <c r="A7" s="2" t="s">
        <v>22</v>
      </c>
      <c r="B7" s="5">
        <v>1000</v>
      </c>
      <c r="G7" s="2" t="s">
        <v>18</v>
      </c>
      <c r="H7">
        <v>1.67</v>
      </c>
      <c r="N7" s="2" t="s">
        <v>36</v>
      </c>
      <c r="O7">
        <v>6</v>
      </c>
    </row>
    <row r="8" spans="1:15" x14ac:dyDescent="0.25">
      <c r="A8" s="2" t="s">
        <v>18</v>
      </c>
      <c r="B8" s="5">
        <v>900</v>
      </c>
      <c r="G8" s="2" t="s">
        <v>13</v>
      </c>
      <c r="H8">
        <v>1.5</v>
      </c>
      <c r="N8" s="2" t="s">
        <v>37</v>
      </c>
      <c r="O8">
        <v>6</v>
      </c>
    </row>
    <row r="9" spans="1:15" x14ac:dyDescent="0.25">
      <c r="A9" s="2" t="s">
        <v>21</v>
      </c>
      <c r="B9" s="5">
        <v>800</v>
      </c>
      <c r="G9" s="2" t="s">
        <v>14</v>
      </c>
      <c r="H9">
        <v>1.5</v>
      </c>
    </row>
    <row r="10" spans="1:15" x14ac:dyDescent="0.25">
      <c r="A10" s="2" t="s">
        <v>14</v>
      </c>
      <c r="B10" s="5">
        <v>800</v>
      </c>
      <c r="G10" s="2" t="s">
        <v>16</v>
      </c>
      <c r="H10">
        <v>1.33</v>
      </c>
    </row>
    <row r="11" spans="1:15" x14ac:dyDescent="0.25">
      <c r="A11" s="2" t="s">
        <v>12</v>
      </c>
      <c r="B11" s="5">
        <v>750</v>
      </c>
      <c r="G11" s="2" t="s">
        <v>17</v>
      </c>
      <c r="H11">
        <v>1.27</v>
      </c>
    </row>
    <row r="12" spans="1:15" x14ac:dyDescent="0.25">
      <c r="A12" s="2" t="s">
        <v>13</v>
      </c>
      <c r="B12" s="5">
        <v>600</v>
      </c>
      <c r="G12" s="2" t="s">
        <v>11</v>
      </c>
      <c r="H12">
        <v>1.2</v>
      </c>
    </row>
    <row r="13" spans="1:15" x14ac:dyDescent="0.25">
      <c r="A13" s="2" t="s">
        <v>10</v>
      </c>
      <c r="B13" s="5">
        <v>470</v>
      </c>
      <c r="G13" s="2" t="s">
        <v>21</v>
      </c>
      <c r="H13">
        <v>1.06</v>
      </c>
    </row>
    <row r="14" spans="1:15" x14ac:dyDescent="0.25">
      <c r="A14" s="2" t="s">
        <v>23</v>
      </c>
      <c r="B14" s="5">
        <v>450</v>
      </c>
      <c r="G14" s="2" t="s">
        <v>23</v>
      </c>
      <c r="H14">
        <v>0.67</v>
      </c>
    </row>
    <row r="15" spans="1:15" x14ac:dyDescent="0.25">
      <c r="A15" s="2" t="s">
        <v>20</v>
      </c>
      <c r="B15" s="5">
        <v>350</v>
      </c>
      <c r="G15" s="2" t="s">
        <v>20</v>
      </c>
      <c r="H15">
        <v>0.56999999999999995</v>
      </c>
    </row>
    <row r="34" spans="1:1" x14ac:dyDescent="0.25">
      <c r="A34" t="s">
        <v>71</v>
      </c>
    </row>
    <row r="36" spans="1:1" x14ac:dyDescent="0.25">
      <c r="A36" t="s">
        <v>72</v>
      </c>
    </row>
    <row r="37" spans="1:1" x14ac:dyDescent="0.25">
      <c r="A37" t="s">
        <v>73</v>
      </c>
    </row>
    <row r="38" spans="1:1" x14ac:dyDescent="0.25">
      <c r="A38" t="s">
        <v>74</v>
      </c>
    </row>
  </sheetData>
  <mergeCells count="3">
    <mergeCell ref="A1:B1"/>
    <mergeCell ref="A2:B2"/>
    <mergeCell ref="A3:B3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1C245C-35E3-4C42-A38D-A19D52E204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customer_segments</vt:lpstr>
      <vt:lpstr>Top customers</vt:lpstr>
      <vt:lpstr>Top Risky Customers</vt:lpstr>
      <vt:lpstr>Customer Segmentation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Bamburska</dc:creator>
  <cp:lastModifiedBy>Katarzyna Bamburska</cp:lastModifiedBy>
  <dcterms:created xsi:type="dcterms:W3CDTF">2026-04-17T04:10:06Z</dcterms:created>
  <dcterms:modified xsi:type="dcterms:W3CDTF">2026-04-21T17:45:44Z</dcterms:modified>
</cp:coreProperties>
</file>